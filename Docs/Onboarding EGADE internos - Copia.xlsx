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467" documentId="11_A51E64B885B6722E258C93D0FB9D1ED523ED40EA" xr6:coauthVersionLast="47" xr6:coauthVersionMax="47" xr10:uidLastSave="{30BDB6CC-DF63-47CA-970B-838FC60F3376}"/>
  <bookViews>
    <workbookView xWindow="240" yWindow="105" windowWidth="14805" windowHeight="8010" firstSheet="1" activeTab="1" xr2:uid="{00000000-000D-0000-FFFF-FFFF00000000}"/>
  </bookViews>
  <sheets>
    <sheet name="PRESENTACIÓN" sheetId="1" r:id="rId1"/>
    <sheet name="ProfesorX (5)" sheetId="6" r:id="rId2"/>
    <sheet name="EdgardoCayón" sheetId="2" r:id="rId3"/>
    <sheet name="Hans Lundberg" sheetId="4" r:id="rId4"/>
    <sheet name="Claudia Álvarez" sheetId="3" r:id="rId5"/>
    <sheet name="ErnestoRiver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D7" i="6"/>
  <c r="F8" i="5"/>
  <c r="D7" i="5"/>
  <c r="F8" i="4"/>
  <c r="D7" i="4"/>
  <c r="F8" i="3"/>
  <c r="D7" i="3"/>
  <c r="D7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tc={3658812C-8294-496D-BC4A-4D5A85524EC7}</author>
  </authors>
  <commentList>
    <comment ref="D15" authorId="0" shapeId="0" xr:uid="{3658812C-8294-496D-BC4A-4D5A85524EC7}">
      <text>
        <t>[Threaded comment]
Your version of Excel allows you to read this threaded comment; however, any edits to it will get removed if the file is opened in a newer version of Excel. Learn more: https://go.microsoft.com/fwlink/?linkid=870924
Comment:
    Hola Mariana, yo lo dejaría a coordinador de facultad porque el profesor pudiera estar en varios programas o bien no estar asignado aun
Reply:
    El director de programa reforzará en las reuniones más adelante
Reply:
    ok, lo ajusto. El documento sobre los lineamientos, ¿lo compartiría el coordinador entonces?
Reply:
    Si por favor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tc={AAC985C3-FA8E-4188-8780-DE302F13A5AC}</author>
  </authors>
  <commentList>
    <comment ref="D15" authorId="0" shapeId="0" xr:uid="{AAC985C3-FA8E-4188-8780-DE302F13A5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Hola Mariana, yo lo dejaría a coordinador de facultad porque el profesor pudiera estar en varios programas o bien no estar asignado aun
Reply:
    El director de programa reforzará en las reuniones más adelante
Reply:
    ok, lo ajusto. El documento sobre los lineamientos, ¿lo compartiría el coordinador entonces?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tc={6CF6630E-B1BB-4A63-8BFA-1AB6176802ED}</author>
  </authors>
  <commentList>
    <comment ref="D15" authorId="0" shapeId="0" xr:uid="{6CF6630E-B1BB-4A63-8BFA-1AB61768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Hola Mariana, yo lo dejaría a coordinador de facultad porque el profesor pudiera estar en varios programas o bien no estar asignado aun
Reply:
    El director de programa reforzará en las reuniones más adelante
Reply:
    ok, lo ajusto. El documento sobre los lineamientos, ¿lo compartiría el coordinador entonces?
Reply:
    Si por favor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tc={F39377D9-D604-45B3-A57D-AA5048086320}</author>
  </authors>
  <commentList>
    <comment ref="D15" authorId="0" shapeId="0" xr:uid="{F39377D9-D604-45B3-A57D-AA50480863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Hola Mariana, yo lo dejaría a coordinador de facultad porque el profesor pudiera estar en varios programas o bien no estar asignado aun
Reply:
    El director de programa reforzará en las reuniones más adelante
Reply:
    ok, lo ajusto. El documento sobre los lineamientos, ¿lo compartiría el coordinador entonces?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tc={2D094810-0AB7-49B0-95EC-0F577D957DD4}</author>
  </authors>
  <commentList>
    <comment ref="D15" authorId="0" shapeId="0" xr:uid="{2D094810-0AB7-49B0-95EC-0F577D957DD4}">
      <text>
        <t>[Threaded comment]
Your version of Excel allows you to read this threaded comment; however, any edits to it will get removed if the file is opened in a newer version of Excel. Learn more: https://go.microsoft.com/fwlink/?linkid=870924
Comment:
    Hola Mariana, yo lo dejaría a coordinador de facultad porque el profesor pudiera estar en varios programas o bien no estar asignado aun
Reply:
    El director de programa reforzará en las reuniones más adelante
Reply:
    ok, lo ajusto. El documento sobre los lineamientos, ¿lo compartiría el coordinador entonces?
Reply:
    Si por favor</t>
      </text>
    </comment>
  </commentList>
</comments>
</file>

<file path=xl/sharedStrings.xml><?xml version="1.0" encoding="utf-8"?>
<sst xmlns="http://schemas.openxmlformats.org/spreadsheetml/2006/main" count="369" uniqueCount="84">
  <si>
    <t>Onboarding EGADE</t>
  </si>
  <si>
    <r>
      <rPr>
        <sz val="11"/>
        <color rgb="FF000000"/>
        <rFont val="Aptos Narrow"/>
      </rPr>
      <t xml:space="preserve">El proceso de incorporación de los profesores a EGADE, persigue facilitar su integración y promover su adecuado desempeño en esta fase inicial dentro de la Escuela.  
Las actividades reflejadas en este archivo, coresponden a aquella definidas en la primera </t>
    </r>
    <r>
      <rPr>
        <b/>
        <sz val="11"/>
        <color rgb="FF000000"/>
        <rFont val="Aptos Narrow"/>
      </rPr>
      <t>Trayectoria de Desarrollo: Acercamiento inicial</t>
    </r>
    <r>
      <rPr>
        <sz val="11"/>
        <color rgb="FF000000"/>
        <rFont val="Aptos Narrow"/>
      </rPr>
      <t xml:space="preserve">, y se espera que todas ellas sucedan en los primeros tres meses de actividad del profesor en EGADE. Para facilitar su seguimiento, las actividades están agrupadas en cuatro categorías: Institucional, Transformación de la Escuela, Transformación de la Enseñanza y Actualización de la disciplina. </t>
    </r>
  </si>
  <si>
    <t>DATOS GENERALES</t>
  </si>
  <si>
    <t>Prioridad alta (antes de primera clase)</t>
  </si>
  <si>
    <t>Profesor (a)</t>
  </si>
  <si>
    <t>Prioridad media</t>
  </si>
  <si>
    <t>Nómina</t>
  </si>
  <si>
    <t>Correo institucional</t>
  </si>
  <si>
    <t>Departamento</t>
  </si>
  <si>
    <t>Programa de ingreso</t>
  </si>
  <si>
    <t>Total de tareas realizadas (de 25):</t>
  </si>
  <si>
    <t xml:space="preserve">Sede </t>
  </si>
  <si>
    <t xml:space="preserve">Fecha </t>
  </si>
  <si>
    <t>TAREA</t>
  </si>
  <si>
    <t>LUGAR/ACTOR</t>
  </si>
  <si>
    <t>INSTITUCIONAL</t>
  </si>
  <si>
    <t>COMENTARIOS</t>
  </si>
  <si>
    <t>Estructura y roles clave</t>
  </si>
  <si>
    <t>Site de Facultad</t>
  </si>
  <si>
    <t>Tour en campus</t>
  </si>
  <si>
    <t>Coordinación Facultad</t>
  </si>
  <si>
    <t>Presentación de recursos (Herramientas tecnológicas, áreas comunes, HBP, etc.)</t>
  </si>
  <si>
    <t>Desarrollo de Facultad</t>
  </si>
  <si>
    <t>Procedimientos administrativos básicos (acceso a plataforma, plataformas de comunicación interna)</t>
  </si>
  <si>
    <t>Líneamientos para profesores EGADE (Políticas y procedimientos institucionales )</t>
  </si>
  <si>
    <t xml:space="preserve">Coordinación de Facutlad </t>
  </si>
  <si>
    <t>Introducción a la misión, visión y valores del Tec y de EGADE</t>
  </si>
  <si>
    <t>Desarrollo de Facultad / Site de Facultad</t>
  </si>
  <si>
    <t>Beneficios y prestaciones</t>
  </si>
  <si>
    <t>Talento y Experiencia</t>
  </si>
  <si>
    <t>Protocolos de seguridad y de bienestar</t>
  </si>
  <si>
    <t>TRANSFORMACIÓN DE LA ESCUELA</t>
  </si>
  <si>
    <t>Reunión con profesores del Departamento</t>
  </si>
  <si>
    <t>Director de Departamento</t>
  </si>
  <si>
    <t>Plan de estudios del programa</t>
  </si>
  <si>
    <t>Director de Programa</t>
  </si>
  <si>
    <t>Metas y objetivos del programa</t>
  </si>
  <si>
    <t>Perfil del estudiante del programa</t>
  </si>
  <si>
    <t>Coordinador de Experiencia</t>
  </si>
  <si>
    <t>Perfil del grupo</t>
  </si>
  <si>
    <t>Reunión con profesores del Programa</t>
  </si>
  <si>
    <t>Sesiones con otros miembros de la Facultad EGADE</t>
  </si>
  <si>
    <t>Dirección Asociada de Facultad/Coordinación de Facultad</t>
  </si>
  <si>
    <t>TRANSFORMACIÓN DE LA ENSEÑANZA</t>
  </si>
  <si>
    <t>Acompañamiento por otro colega</t>
  </si>
  <si>
    <t>Uso de plataforma Canvas</t>
  </si>
  <si>
    <t>Uso de Plan de evaluación</t>
  </si>
  <si>
    <t>Identificación de Modelo Educativo EGADE (simplificado)</t>
  </si>
  <si>
    <t>Innovación Educativa</t>
  </si>
  <si>
    <t>Evaluación y retroalimentación del rendimiento de los alumnos</t>
  </si>
  <si>
    <t>Director de Departamento/Director de Programa</t>
  </si>
  <si>
    <t>Aplicación de Autodiagnóstico de Competencias EGADE</t>
  </si>
  <si>
    <t>Introducción a estrategias de aprendizaje activo</t>
  </si>
  <si>
    <t>ACTUALIZACIÓN DE LA DISCIPLINA</t>
  </si>
  <si>
    <t>Acceso a base de datos académicas y Biblioteca Digital</t>
  </si>
  <si>
    <t>Biblioteca EGADE</t>
  </si>
  <si>
    <t>Familiarización con líneas de investigación de la Escuela</t>
  </si>
  <si>
    <t>Identificación de recursos de apoyo para la investigación</t>
  </si>
  <si>
    <t>Edgardo Cayón</t>
  </si>
  <si>
    <t>pendiente</t>
  </si>
  <si>
    <t>Correo institucional:</t>
  </si>
  <si>
    <t>edgardo.cayon@tec.mx</t>
  </si>
  <si>
    <t>Finanzas</t>
  </si>
  <si>
    <t>MAF Online, MBA Santa Fe</t>
  </si>
  <si>
    <t>Santa Fe</t>
  </si>
  <si>
    <t>Coordinación de Facultad</t>
  </si>
  <si>
    <t>Cursos ya asignados en SSFF, pendiente acreditación</t>
  </si>
  <si>
    <t>MBA</t>
  </si>
  <si>
    <t>Asistencia a sesión Hablemos de Estrategia, febrero 25</t>
  </si>
  <si>
    <t>Ya es usuario.</t>
  </si>
  <si>
    <t>Pendiente para una vez iniciadas sus clases.</t>
  </si>
  <si>
    <t>Hans Lundberg</t>
  </si>
  <si>
    <t>L01257618</t>
  </si>
  <si>
    <t>hans.lundberg@tec.mx</t>
  </si>
  <si>
    <t>Estrategia y Liderazgo</t>
  </si>
  <si>
    <t>Monterrey</t>
  </si>
  <si>
    <t>MBM y MBA</t>
  </si>
  <si>
    <t>Pendiente a inicio de clases</t>
  </si>
  <si>
    <t>Claudia Álvarez</t>
  </si>
  <si>
    <t>Estrategia</t>
  </si>
  <si>
    <t>Coordinación de Facutlad / Director de Programa</t>
  </si>
  <si>
    <t>Asistencia a sesión 5 de febrero, Estrategia con HA</t>
  </si>
  <si>
    <t>Ernesto Daniel Rivera Salceda</t>
  </si>
  <si>
    <t>ernesto.daniel@tec.mx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</si>
</sst>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24"/>
      <color theme="3" tint="0.249977111117893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1212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wrapText="1"/>
    </xf>
    <xf numFmtId="0" fontId="0" fillId="4" borderId="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3" xfId="0" applyFont="1" applyFill="1" applyBorder="1" applyAlignment="1">
      <alignment vertical="center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vertical="center"/>
    </xf>
    <xf numFmtId="0" fontId="0" fillId="4" borderId="6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7" fillId="2" borderId="5" xfId="0" applyFont="1" applyFill="1" applyBorder="1"/>
    <xf numFmtId="0" fontId="9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2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0" fillId="2" borderId="12" xfId="0" applyFont="1" applyFill="1" applyBorder="1"/>
    <xf numFmtId="0" fontId="0" fillId="0" borderId="12" xfId="0" applyBorder="1"/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/>
    <xf numFmtId="0" fontId="11" fillId="0" borderId="0" xfId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11" fillId="0" borderId="1" xfId="1" applyBorder="1"/>
    <xf numFmtId="0" fontId="6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2" borderId="5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12" fillId="0" borderId="0" xfId="0" applyFo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5" borderId="10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0</xdr:row>
      <xdr:rowOff>95250</xdr:rowOff>
    </xdr:from>
    <xdr:to>
      <xdr:col>12</xdr:col>
      <xdr:colOff>419100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D0C2DE-23C0-5690-20B6-750646843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95250"/>
          <a:ext cx="2733675" cy="5619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va María Guerra Leal" id="{B20073D1-7B3C-464F-8D02-C135DD1E2C69}" userId="S::guerra_eva@tec.mx::310d4b17-9d9b-43c5-a020-577081a50132" providerId="AD"/>
  <person displayName="Mariana Núñez Almanza" id="{EF17670C-74D1-4460-8486-887BA5DD2BD6}" userId="S::mariananual@tec.mx::5eb00d63-05a0-4a6a-a7d6-7c4a737dc6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" dT="2025-02-24T16:53:14.07" personId="{B20073D1-7B3C-464F-8D02-C135DD1E2C69}" id="{3658812C-8294-496D-BC4A-4D5A85524EC7}">
    <text>Hola Mariana, yo lo dejaría a coordinador de facultad porque el profesor pudiera estar en varios programas o bien no estar asignado aun</text>
  </threadedComment>
  <threadedComment ref="D15" dT="2025-02-24T16:54:02.92" personId="{B20073D1-7B3C-464F-8D02-C135DD1E2C69}" id="{D757D5AA-DC1C-4C1D-8F50-A587C37C8E2B}" parentId="{3658812C-8294-496D-BC4A-4D5A85524EC7}">
    <text>El director de programa reforzará en las reuniones más adelante</text>
  </threadedComment>
  <threadedComment ref="D15" dT="2025-02-25T17:14:23.77" personId="{EF17670C-74D1-4460-8486-887BA5DD2BD6}" id="{8B18AE22-94F4-4023-8F48-DF36D3D9B81E}" parentId="{3658812C-8294-496D-BC4A-4D5A85524EC7}">
    <text xml:space="preserve">ok, lo ajusto. El documento sobre los lineamientos, ¿lo compartiría el coordinador entonces?
</text>
  </threadedComment>
  <threadedComment ref="D15" dT="2025-02-25T19:54:56.56" personId="{B20073D1-7B3C-464F-8D02-C135DD1E2C69}" id="{6D62B5C9-F85D-4BB7-B2D0-C7A0AFBEAB99}" parentId="{3658812C-8294-496D-BC4A-4D5A85524EC7}">
    <text>Si por favor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5" dT="2025-02-24T16:53:14.07" personId="{B20073D1-7B3C-464F-8D02-C135DD1E2C69}" id="{AAC985C3-FA8E-4188-8780-DE302F13A5AC}">
    <text>Hola Mariana, yo lo dejaría a coordinador de facultad porque el profesor pudiera estar en varios programas o bien no estar asignado aun</text>
  </threadedComment>
  <threadedComment ref="D15" dT="2025-02-24T16:54:02.92" personId="{B20073D1-7B3C-464F-8D02-C135DD1E2C69}" id="{18D0BCB8-76A4-402C-AE35-FA0DEABDC110}" parentId="{AAC985C3-FA8E-4188-8780-DE302F13A5AC}">
    <text>El director de programa reforzará en las reuniones más adelante</text>
  </threadedComment>
  <threadedComment ref="D15" dT="2025-02-25T17:14:23.77" personId="{EF17670C-74D1-4460-8486-887BA5DD2BD6}" id="{ED58F038-08E7-4B23-9FB2-5F91630D020E}" parentId="{AAC985C3-FA8E-4188-8780-DE302F13A5AC}">
    <text xml:space="preserve">ok, lo ajusto. El documento sobre los lineamientos, ¿lo compartiría el coordinador entonces?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5" dT="2025-02-24T16:53:14.07" personId="{B20073D1-7B3C-464F-8D02-C135DD1E2C69}" id="{6CF6630E-B1BB-4A63-8BFA-1AB6176802ED}">
    <text>Hola Mariana, yo lo dejaría a coordinador de facultad porque el profesor pudiera estar en varios programas o bien no estar asignado aun</text>
  </threadedComment>
  <threadedComment ref="D15" dT="2025-02-24T16:54:02.92" personId="{B20073D1-7B3C-464F-8D02-C135DD1E2C69}" id="{51189CD1-CDBA-4445-AC66-9AF358953B1E}" parentId="{6CF6630E-B1BB-4A63-8BFA-1AB6176802ED}">
    <text>El director de programa reforzará en las reuniones más adelante</text>
  </threadedComment>
  <threadedComment ref="D15" dT="2025-02-25T17:14:23.77" personId="{EF17670C-74D1-4460-8486-887BA5DD2BD6}" id="{1293D20A-6482-4DE4-B39A-2D207C560148}" parentId="{6CF6630E-B1BB-4A63-8BFA-1AB6176802ED}">
    <text xml:space="preserve">ok, lo ajusto. El documento sobre los lineamientos, ¿lo compartiría el coordinador entonces?
</text>
  </threadedComment>
  <threadedComment ref="D15" dT="2025-02-25T19:54:56.56" personId="{B20073D1-7B3C-464F-8D02-C135DD1E2C69}" id="{4812A19E-0A38-4CDA-BFFD-67B4B102EF70}" parentId="{6CF6630E-B1BB-4A63-8BFA-1AB6176802ED}">
    <text>Si por favor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5" dT="2025-02-24T16:53:14.07" personId="{B20073D1-7B3C-464F-8D02-C135DD1E2C69}" id="{F39377D9-D604-45B3-A57D-AA5048086320}">
    <text>Hola Mariana, yo lo dejaría a coordinador de facultad porque el profesor pudiera estar en varios programas o bien no estar asignado aun</text>
  </threadedComment>
  <threadedComment ref="D15" dT="2025-02-24T16:54:02.92" personId="{B20073D1-7B3C-464F-8D02-C135DD1E2C69}" id="{54DA8C2E-D4C6-439D-AAC3-4E8A208DCE80}" parentId="{F39377D9-D604-45B3-A57D-AA5048086320}">
    <text>El director de programa reforzará en las reuniones más adelante</text>
  </threadedComment>
  <threadedComment ref="D15" dT="2025-02-25T17:14:23.77" personId="{EF17670C-74D1-4460-8486-887BA5DD2BD6}" id="{4FBC6AC5-D3F0-40F1-B560-01286593FF8E}" parentId="{F39377D9-D604-45B3-A57D-AA5048086320}">
    <text xml:space="preserve">ok, lo ajusto. El documento sobre los lineamientos, ¿lo compartiría el coordinador entonces?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5" dT="2025-02-24T16:53:14.07" personId="{B20073D1-7B3C-464F-8D02-C135DD1E2C69}" id="{2D094810-0AB7-49B0-95EC-0F577D957DD4}">
    <text>Hola Mariana, yo lo dejaría a coordinador de facultad porque el profesor pudiera estar en varios programas o bien no estar asignado aun</text>
  </threadedComment>
  <threadedComment ref="D15" dT="2025-02-24T16:54:02.92" personId="{B20073D1-7B3C-464F-8D02-C135DD1E2C69}" id="{396B0699-79E6-4126-B025-80859A96AA5D}" parentId="{2D094810-0AB7-49B0-95EC-0F577D957DD4}">
    <text>El director de programa reforzará en las reuniones más adelante</text>
  </threadedComment>
  <threadedComment ref="D15" dT="2025-02-25T17:14:23.77" personId="{EF17670C-74D1-4460-8486-887BA5DD2BD6}" id="{F38F01D8-C114-4BF2-A656-E9C34A264432}" parentId="{2D094810-0AB7-49B0-95EC-0F577D957DD4}">
    <text xml:space="preserve">ok, lo ajusto. El documento sobre los lineamientos, ¿lo compartiría el coordinador entonces?
</text>
  </threadedComment>
  <threadedComment ref="D15" dT="2025-02-25T19:54:56.56" personId="{B20073D1-7B3C-464F-8D02-C135DD1E2C69}" id="{C21382CB-3E38-104F-839A-8638EA8C1F79}" parentId="{2D094810-0AB7-49B0-95EC-0F577D957DD4}">
    <text>Si por favor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edgardo.cayon@tec.mx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hans.lundberg@tec.mx" TargetMode="Externa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mailto:ernesto.daniel@tec.mx" TargetMode="Externa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7"/>
  <sheetViews>
    <sheetView workbookViewId="0">
      <selection activeCell="A9" sqref="A9"/>
    </sheetView>
  </sheetViews>
  <sheetFormatPr defaultRowHeight="15"/>
  <cols>
    <col min="1" max="1" width="10.28515625" customWidth="1"/>
  </cols>
  <sheetData>
    <row r="5" spans="1:13" ht="31.5">
      <c r="A5" s="1" t="s">
        <v>0</v>
      </c>
    </row>
    <row r="7" spans="1:13" ht="131.25" customHeight="1">
      <c r="A7" s="55" t="s">
        <v>1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</row>
  </sheetData>
  <mergeCells count="1">
    <mergeCell ref="A7: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52FF-AECD-4D90-BA0F-4B990A8162C1}">
  <dimension ref="A1:F38"/>
  <sheetViews>
    <sheetView tabSelected="1" workbookViewId="0">
      <selection activeCell="B13" sqref="B13"/>
    </sheetView>
  </sheetViews>
  <sheetFormatPr defaultRowHeight="15"/>
  <cols>
    <col min="1" max="1" width="3.42578125" style="7" customWidth="1"/>
    <col min="2" max="2" width="6.5703125" style="7" bestFit="1" customWidth="1"/>
    <col min="3" max="3" width="44.5703125" style="7" customWidth="1"/>
    <col min="4" max="4" width="36.5703125" style="6" bestFit="1" customWidth="1"/>
    <col min="5" max="5" width="30.140625" customWidth="1"/>
    <col min="6" max="6" width="20.28515625" bestFit="1" customWidth="1"/>
    <col min="7" max="7" width="14" bestFit="1" customWidth="1"/>
    <col min="13" max="13" width="20.42578125" bestFit="1" customWidth="1"/>
  </cols>
  <sheetData>
    <row r="1" spans="1:6" ht="18.75">
      <c r="E1" s="30" t="s">
        <v>2</v>
      </c>
      <c r="F1" s="30"/>
    </row>
    <row r="2" spans="1:6">
      <c r="B2" s="9"/>
      <c r="C2" s="49" t="s">
        <v>3</v>
      </c>
      <c r="E2" s="3" t="s">
        <v>4</v>
      </c>
      <c r="F2" s="4"/>
    </row>
    <row r="3" spans="1:6">
      <c r="B3" s="10"/>
      <c r="C3" s="49" t="s">
        <v>5</v>
      </c>
      <c r="E3" s="3" t="s">
        <v>6</v>
      </c>
      <c r="F3" s="4"/>
    </row>
    <row r="4" spans="1:6">
      <c r="E4" s="3" t="s">
        <v>7</v>
      </c>
      <c r="F4" s="4"/>
    </row>
    <row r="5" spans="1:6">
      <c r="E5" s="46" t="s">
        <v>8</v>
      </c>
      <c r="F5" s="4"/>
    </row>
    <row r="6" spans="1:6">
      <c r="E6" s="3" t="s">
        <v>9</v>
      </c>
      <c r="F6" s="45"/>
    </row>
    <row r="7" spans="1:6">
      <c r="C7" s="50" t="s">
        <v>10</v>
      </c>
      <c r="D7" s="27">
        <f>COUNTIF(B11:B38,TRUE)</f>
        <v>3</v>
      </c>
      <c r="E7" s="47" t="s">
        <v>11</v>
      </c>
      <c r="F7" s="4"/>
    </row>
    <row r="8" spans="1:6">
      <c r="E8" s="3" t="s">
        <v>12</v>
      </c>
      <c r="F8" s="5">
        <f ca="1">TODAY()</f>
        <v>46100</v>
      </c>
    </row>
    <row r="9" spans="1:6" ht="15.75">
      <c r="B9" s="24"/>
      <c r="C9" s="51" t="s">
        <v>13</v>
      </c>
      <c r="D9" s="17" t="s">
        <v>14</v>
      </c>
    </row>
    <row r="10" spans="1:6" ht="16.5">
      <c r="B10" s="57" t="s">
        <v>15</v>
      </c>
      <c r="C10" s="58"/>
      <c r="D10" s="58"/>
      <c r="E10" s="34" t="s">
        <v>16</v>
      </c>
      <c r="F10" s="2"/>
    </row>
    <row r="11" spans="1:6" ht="15" customHeight="1">
      <c r="A11" s="12">
        <v>1</v>
      </c>
      <c r="B11" s="13" t="b">
        <v>1</v>
      </c>
      <c r="C11" s="29" t="s">
        <v>17</v>
      </c>
      <c r="D11" s="31" t="s">
        <v>18</v>
      </c>
      <c r="E11" s="35"/>
    </row>
    <row r="12" spans="1:6">
      <c r="A12" s="12">
        <v>2</v>
      </c>
      <c r="B12" s="13" t="b">
        <v>1</v>
      </c>
      <c r="C12" s="12" t="s">
        <v>19</v>
      </c>
      <c r="D12" s="31" t="s">
        <v>20</v>
      </c>
      <c r="E12" s="35"/>
    </row>
    <row r="13" spans="1:6" ht="33.75" customHeight="1">
      <c r="A13" s="12">
        <v>3</v>
      </c>
      <c r="B13" s="13" t="b">
        <v>1</v>
      </c>
      <c r="C13" s="29" t="s">
        <v>21</v>
      </c>
      <c r="D13" s="31" t="s">
        <v>22</v>
      </c>
      <c r="E13" s="35"/>
    </row>
    <row r="14" spans="1:6" ht="29.25">
      <c r="A14" s="12">
        <v>4</v>
      </c>
      <c r="B14" s="13" t="b">
        <v>0</v>
      </c>
      <c r="C14" s="29" t="s">
        <v>23</v>
      </c>
      <c r="D14" s="32" t="s">
        <v>22</v>
      </c>
      <c r="E14" s="35"/>
    </row>
    <row r="15" spans="1:6" ht="29.25">
      <c r="A15" s="12">
        <v>5</v>
      </c>
      <c r="B15" s="15" t="b">
        <v>0</v>
      </c>
      <c r="C15" s="29" t="s">
        <v>24</v>
      </c>
      <c r="D15" s="38" t="s">
        <v>25</v>
      </c>
      <c r="E15" s="35"/>
    </row>
    <row r="16" spans="1:6" ht="29.25">
      <c r="A16" s="12">
        <v>6</v>
      </c>
      <c r="B16" s="16" t="b">
        <v>0</v>
      </c>
      <c r="C16" s="29" t="s">
        <v>26</v>
      </c>
      <c r="D16" s="32" t="s">
        <v>27</v>
      </c>
      <c r="E16" s="35"/>
    </row>
    <row r="17" spans="1:5">
      <c r="A17" s="12">
        <v>7</v>
      </c>
      <c r="B17" s="16" t="b">
        <v>0</v>
      </c>
      <c r="C17" s="12" t="s">
        <v>28</v>
      </c>
      <c r="D17" s="32" t="s">
        <v>29</v>
      </c>
      <c r="E17" s="35"/>
    </row>
    <row r="18" spans="1:5">
      <c r="A18" s="12">
        <v>8</v>
      </c>
      <c r="B18" s="21" t="b">
        <v>0</v>
      </c>
      <c r="C18" s="22" t="s">
        <v>30</v>
      </c>
      <c r="D18" s="33" t="s">
        <v>29</v>
      </c>
      <c r="E18" s="35"/>
    </row>
    <row r="19" spans="1:5">
      <c r="A19" s="22"/>
      <c r="B19" s="59" t="s">
        <v>31</v>
      </c>
      <c r="C19" s="60"/>
      <c r="D19" s="61"/>
    </row>
    <row r="20" spans="1:5">
      <c r="A20" s="22">
        <v>9</v>
      </c>
      <c r="B20" s="16" t="b">
        <v>0</v>
      </c>
      <c r="C20" s="52" t="s">
        <v>32</v>
      </c>
      <c r="D20" s="32" t="s">
        <v>33</v>
      </c>
      <c r="E20" s="35"/>
    </row>
    <row r="21" spans="1:5">
      <c r="A21" s="12">
        <v>10</v>
      </c>
      <c r="B21" s="13" t="b">
        <v>0</v>
      </c>
      <c r="C21" s="53" t="s">
        <v>34</v>
      </c>
      <c r="D21" s="32" t="s">
        <v>35</v>
      </c>
      <c r="E21" s="35"/>
    </row>
    <row r="22" spans="1:5">
      <c r="A22" s="12">
        <v>11</v>
      </c>
      <c r="B22" s="13" t="b">
        <v>0</v>
      </c>
      <c r="C22" s="53" t="s">
        <v>36</v>
      </c>
      <c r="D22" s="32" t="s">
        <v>35</v>
      </c>
      <c r="E22" s="35"/>
    </row>
    <row r="23" spans="1:5">
      <c r="A23" s="12">
        <v>12</v>
      </c>
      <c r="B23" s="13" t="b">
        <v>0</v>
      </c>
      <c r="C23" s="53" t="s">
        <v>37</v>
      </c>
      <c r="D23" s="32" t="s">
        <v>38</v>
      </c>
      <c r="E23" s="35"/>
    </row>
    <row r="24" spans="1:5">
      <c r="A24" s="12">
        <v>13</v>
      </c>
      <c r="B24" s="13" t="b">
        <v>0</v>
      </c>
      <c r="C24" s="53" t="s">
        <v>39</v>
      </c>
      <c r="D24" s="32" t="s">
        <v>38</v>
      </c>
      <c r="E24" s="35"/>
    </row>
    <row r="25" spans="1:5">
      <c r="A25" s="12">
        <v>14</v>
      </c>
      <c r="B25" s="13" t="b">
        <v>0</v>
      </c>
      <c r="C25" s="53" t="s">
        <v>40</v>
      </c>
      <c r="D25" s="32" t="s">
        <v>35</v>
      </c>
      <c r="E25" s="35"/>
    </row>
    <row r="26" spans="1:5" ht="29.25">
      <c r="A26" s="22">
        <v>15</v>
      </c>
      <c r="B26" s="23" t="b">
        <v>0</v>
      </c>
      <c r="C26" s="28" t="s">
        <v>41</v>
      </c>
      <c r="D26" s="36" t="s">
        <v>42</v>
      </c>
      <c r="E26" s="35"/>
    </row>
    <row r="27" spans="1:5">
      <c r="A27" s="22"/>
      <c r="B27" s="59" t="s">
        <v>43</v>
      </c>
      <c r="C27" s="60"/>
      <c r="D27" s="61"/>
    </row>
    <row r="28" spans="1:5" ht="15" customHeight="1">
      <c r="A28" s="12">
        <v>16</v>
      </c>
      <c r="B28" s="16" t="b">
        <v>0</v>
      </c>
      <c r="C28" s="12" t="s">
        <v>44</v>
      </c>
      <c r="D28" s="32" t="s">
        <v>33</v>
      </c>
      <c r="E28" s="35"/>
    </row>
    <row r="29" spans="1:5">
      <c r="A29" s="22">
        <v>17</v>
      </c>
      <c r="B29" s="13" t="b">
        <v>0</v>
      </c>
      <c r="C29" s="12" t="s">
        <v>45</v>
      </c>
      <c r="D29" s="32" t="s">
        <v>22</v>
      </c>
      <c r="E29" s="35"/>
    </row>
    <row r="30" spans="1:5">
      <c r="A30" s="22">
        <v>18</v>
      </c>
      <c r="B30" s="13" t="b">
        <v>0</v>
      </c>
      <c r="C30" s="12" t="s">
        <v>46</v>
      </c>
      <c r="D30" s="32" t="s">
        <v>22</v>
      </c>
      <c r="E30" s="35"/>
    </row>
    <row r="31" spans="1:5" ht="29.25">
      <c r="A31" s="22">
        <v>19</v>
      </c>
      <c r="B31" s="15" t="b">
        <v>0</v>
      </c>
      <c r="C31" s="29" t="s">
        <v>47</v>
      </c>
      <c r="D31" s="32" t="s">
        <v>48</v>
      </c>
      <c r="E31" s="35"/>
    </row>
    <row r="32" spans="1:5" ht="29.25">
      <c r="A32" s="22">
        <v>20</v>
      </c>
      <c r="B32" s="15" t="b">
        <v>0</v>
      </c>
      <c r="C32" s="29" t="s">
        <v>49</v>
      </c>
      <c r="D32" s="38" t="s">
        <v>50</v>
      </c>
      <c r="E32" s="35"/>
    </row>
    <row r="33" spans="1:5" ht="29.25">
      <c r="A33" s="22">
        <v>21</v>
      </c>
      <c r="B33" s="16" t="b">
        <v>0</v>
      </c>
      <c r="C33" s="29" t="s">
        <v>51</v>
      </c>
      <c r="D33" s="32" t="s">
        <v>22</v>
      </c>
      <c r="E33" s="35"/>
    </row>
    <row r="34" spans="1:5" s="7" customFormat="1">
      <c r="A34" s="22">
        <v>22</v>
      </c>
      <c r="B34" s="16" t="b">
        <v>0</v>
      </c>
      <c r="C34" s="29" t="s">
        <v>52</v>
      </c>
      <c r="D34" s="32" t="s">
        <v>48</v>
      </c>
      <c r="E34" s="37"/>
    </row>
    <row r="35" spans="1:5">
      <c r="B35" s="62" t="s">
        <v>53</v>
      </c>
      <c r="C35" s="62"/>
      <c r="D35" s="62"/>
    </row>
    <row r="36" spans="1:5" ht="29.25">
      <c r="A36" s="12">
        <v>23</v>
      </c>
      <c r="B36" s="16" t="b">
        <v>0</v>
      </c>
      <c r="C36" s="29" t="s">
        <v>54</v>
      </c>
      <c r="D36" s="32" t="s">
        <v>55</v>
      </c>
      <c r="E36" s="35"/>
    </row>
    <row r="37" spans="1:5" ht="29.25">
      <c r="A37" s="12">
        <v>24</v>
      </c>
      <c r="B37" s="16" t="b">
        <v>0</v>
      </c>
      <c r="C37" s="29" t="s">
        <v>56</v>
      </c>
      <c r="D37" s="38" t="s">
        <v>33</v>
      </c>
      <c r="E37" s="35"/>
    </row>
    <row r="38" spans="1:5" ht="29.25">
      <c r="A38" s="12">
        <v>25</v>
      </c>
      <c r="B38" s="16" t="b">
        <v>0</v>
      </c>
      <c r="C38" s="29" t="s">
        <v>57</v>
      </c>
      <c r="D38" s="32" t="s">
        <v>33</v>
      </c>
      <c r="E38" s="35"/>
    </row>
  </sheetData>
  <mergeCells count="4">
    <mergeCell ref="B10:D10"/>
    <mergeCell ref="B19:D19"/>
    <mergeCell ref="B27:D27"/>
    <mergeCell ref="B35:D3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01E4-6479-444F-B2AD-5CE3EA3E0569}">
  <dimension ref="A1:F38"/>
  <sheetViews>
    <sheetView workbookViewId="0">
      <selection activeCell="D7" sqref="D7"/>
    </sheetView>
  </sheetViews>
  <sheetFormatPr defaultRowHeight="15"/>
  <cols>
    <col min="1" max="1" width="3.42578125" style="7" customWidth="1"/>
    <col min="2" max="2" width="6.5703125" style="7" bestFit="1" customWidth="1"/>
    <col min="3" max="3" width="44.5703125" customWidth="1"/>
    <col min="4" max="4" width="36.5703125" style="6" bestFit="1" customWidth="1"/>
    <col min="5" max="5" width="30.140625" customWidth="1"/>
    <col min="6" max="6" width="23.28515625" bestFit="1" customWidth="1"/>
    <col min="7" max="7" width="14" bestFit="1" customWidth="1"/>
    <col min="13" max="13" width="20.42578125" bestFit="1" customWidth="1"/>
  </cols>
  <sheetData>
    <row r="1" spans="1:6" ht="18.75">
      <c r="E1" s="30" t="s">
        <v>2</v>
      </c>
      <c r="F1" s="30"/>
    </row>
    <row r="2" spans="1:6">
      <c r="B2" s="9"/>
      <c r="C2" s="8" t="s">
        <v>3</v>
      </c>
      <c r="E2" s="3" t="s">
        <v>4</v>
      </c>
      <c r="F2" s="4" t="s">
        <v>58</v>
      </c>
    </row>
    <row r="3" spans="1:6">
      <c r="B3" s="10"/>
      <c r="C3" s="8" t="s">
        <v>5</v>
      </c>
      <c r="E3" s="46" t="s">
        <v>6</v>
      </c>
      <c r="F3" s="43" t="s">
        <v>59</v>
      </c>
    </row>
    <row r="4" spans="1:6">
      <c r="E4" s="3" t="s">
        <v>60</v>
      </c>
      <c r="F4" s="48" t="s">
        <v>61</v>
      </c>
    </row>
    <row r="5" spans="1:6">
      <c r="E5" s="47" t="s">
        <v>8</v>
      </c>
      <c r="F5" s="44" t="s">
        <v>62</v>
      </c>
    </row>
    <row r="6" spans="1:6">
      <c r="E6" s="3" t="s">
        <v>9</v>
      </c>
      <c r="F6" s="44" t="s">
        <v>63</v>
      </c>
    </row>
    <row r="7" spans="1:6">
      <c r="C7" s="26" t="s">
        <v>10</v>
      </c>
      <c r="D7" s="27">
        <f>COUNTIF(B11:B38,TRUE)</f>
        <v>5</v>
      </c>
      <c r="E7" s="3" t="s">
        <v>11</v>
      </c>
      <c r="F7" s="4" t="s">
        <v>64</v>
      </c>
    </row>
    <row r="8" spans="1:6">
      <c r="E8" s="3" t="s">
        <v>12</v>
      </c>
      <c r="F8" s="5">
        <f ca="1">TODAY()</f>
        <v>46100</v>
      </c>
    </row>
    <row r="9" spans="1:6" ht="16.5">
      <c r="B9" s="24"/>
      <c r="C9" s="25" t="s">
        <v>13</v>
      </c>
      <c r="D9" s="17" t="s">
        <v>14</v>
      </c>
    </row>
    <row r="10" spans="1:6" ht="16.5">
      <c r="B10" s="57" t="s">
        <v>15</v>
      </c>
      <c r="C10" s="58"/>
      <c r="D10" s="58"/>
      <c r="E10" s="34" t="s">
        <v>16</v>
      </c>
      <c r="F10" s="2"/>
    </row>
    <row r="11" spans="1:6" ht="15" customHeight="1">
      <c r="A11" s="12">
        <v>1</v>
      </c>
      <c r="B11" s="13" t="b">
        <v>0</v>
      </c>
      <c r="C11" s="14" t="s">
        <v>17</v>
      </c>
      <c r="D11" s="31" t="s">
        <v>18</v>
      </c>
      <c r="E11" s="35"/>
    </row>
    <row r="12" spans="1:6">
      <c r="A12" s="12">
        <v>2</v>
      </c>
      <c r="B12" s="13" t="b">
        <v>1</v>
      </c>
      <c r="C12" s="11" t="s">
        <v>19</v>
      </c>
      <c r="D12" s="31" t="s">
        <v>20</v>
      </c>
      <c r="E12" s="35"/>
    </row>
    <row r="13" spans="1:6" ht="33.75" customHeight="1">
      <c r="A13" s="12">
        <v>3</v>
      </c>
      <c r="B13" s="13" t="b">
        <v>1</v>
      </c>
      <c r="C13" s="14" t="s">
        <v>21</v>
      </c>
      <c r="D13" s="31" t="s">
        <v>22</v>
      </c>
      <c r="E13" s="35"/>
    </row>
    <row r="14" spans="1:6" ht="27.75">
      <c r="A14" s="12">
        <v>4</v>
      </c>
      <c r="B14" s="13" t="b">
        <v>1</v>
      </c>
      <c r="C14" s="14" t="s">
        <v>23</v>
      </c>
      <c r="D14" s="32" t="s">
        <v>22</v>
      </c>
      <c r="E14" s="35"/>
    </row>
    <row r="15" spans="1:6" ht="29.25">
      <c r="A15" s="12">
        <v>5</v>
      </c>
      <c r="B15" s="15" t="b">
        <v>0</v>
      </c>
      <c r="C15" s="14" t="s">
        <v>24</v>
      </c>
      <c r="D15" s="38" t="s">
        <v>65</v>
      </c>
      <c r="E15" s="35"/>
    </row>
    <row r="16" spans="1:6" ht="29.25">
      <c r="A16" s="12">
        <v>6</v>
      </c>
      <c r="B16" s="16" t="b">
        <v>0</v>
      </c>
      <c r="C16" s="14" t="s">
        <v>26</v>
      </c>
      <c r="D16" s="32" t="s">
        <v>27</v>
      </c>
      <c r="E16" s="39" t="s">
        <v>66</v>
      </c>
    </row>
    <row r="17" spans="1:5">
      <c r="A17" s="12">
        <v>7</v>
      </c>
      <c r="B17" s="16" t="b">
        <v>0</v>
      </c>
      <c r="C17" s="11" t="s">
        <v>28</v>
      </c>
      <c r="D17" s="32" t="s">
        <v>29</v>
      </c>
      <c r="E17" s="35"/>
    </row>
    <row r="18" spans="1:5">
      <c r="A18" s="12">
        <v>8</v>
      </c>
      <c r="B18" s="21" t="b">
        <v>0</v>
      </c>
      <c r="C18" s="18" t="s">
        <v>30</v>
      </c>
      <c r="D18" s="33" t="s">
        <v>29</v>
      </c>
      <c r="E18" s="35"/>
    </row>
    <row r="19" spans="1:5">
      <c r="A19" s="22"/>
      <c r="B19" s="59" t="s">
        <v>31</v>
      </c>
      <c r="C19" s="60"/>
      <c r="D19" s="61"/>
    </row>
    <row r="20" spans="1:5">
      <c r="A20" s="22">
        <v>9</v>
      </c>
      <c r="B20" s="16" t="b">
        <v>0</v>
      </c>
      <c r="C20" s="19" t="s">
        <v>32</v>
      </c>
      <c r="D20" s="32" t="s">
        <v>33</v>
      </c>
      <c r="E20" s="35" t="s">
        <v>67</v>
      </c>
    </row>
    <row r="21" spans="1:5">
      <c r="A21" s="12">
        <v>10</v>
      </c>
      <c r="B21" s="13" t="b">
        <v>0</v>
      </c>
      <c r="C21" s="20" t="s">
        <v>34</v>
      </c>
      <c r="D21" s="32" t="s">
        <v>35</v>
      </c>
      <c r="E21" s="35"/>
    </row>
    <row r="22" spans="1:5">
      <c r="A22" s="12">
        <v>11</v>
      </c>
      <c r="B22" s="13" t="b">
        <v>0</v>
      </c>
      <c r="C22" s="20" t="s">
        <v>36</v>
      </c>
      <c r="D22" s="32" t="s">
        <v>35</v>
      </c>
      <c r="E22" s="35"/>
    </row>
    <row r="23" spans="1:5">
      <c r="A23" s="12">
        <v>12</v>
      </c>
      <c r="B23" s="13" t="b">
        <v>0</v>
      </c>
      <c r="C23" s="20" t="s">
        <v>37</v>
      </c>
      <c r="D23" s="32" t="s">
        <v>38</v>
      </c>
      <c r="E23" s="35"/>
    </row>
    <row r="24" spans="1:5">
      <c r="A24" s="12">
        <v>13</v>
      </c>
      <c r="B24" s="13" t="b">
        <v>0</v>
      </c>
      <c r="C24" s="20" t="s">
        <v>39</v>
      </c>
      <c r="D24" s="32" t="s">
        <v>38</v>
      </c>
      <c r="E24" s="35"/>
    </row>
    <row r="25" spans="1:5">
      <c r="A25" s="12">
        <v>14</v>
      </c>
      <c r="B25" s="13" t="b">
        <v>0</v>
      </c>
      <c r="C25" s="20" t="s">
        <v>40</v>
      </c>
      <c r="D25" s="32" t="s">
        <v>35</v>
      </c>
      <c r="E25" s="35"/>
    </row>
    <row r="26" spans="1:5" ht="27.75">
      <c r="A26" s="22">
        <v>15</v>
      </c>
      <c r="B26" s="23" t="b">
        <v>1</v>
      </c>
      <c r="C26" s="28" t="s">
        <v>41</v>
      </c>
      <c r="D26" s="36" t="s">
        <v>42</v>
      </c>
      <c r="E26" s="39" t="s">
        <v>68</v>
      </c>
    </row>
    <row r="27" spans="1:5">
      <c r="A27" s="22"/>
      <c r="B27" s="59" t="s">
        <v>43</v>
      </c>
      <c r="C27" s="60"/>
      <c r="D27" s="61"/>
    </row>
    <row r="28" spans="1:5" ht="15" customHeight="1">
      <c r="A28" s="12">
        <v>16</v>
      </c>
      <c r="B28" s="16" t="b">
        <v>0</v>
      </c>
      <c r="C28" s="11" t="s">
        <v>44</v>
      </c>
      <c r="D28" s="32" t="s">
        <v>33</v>
      </c>
      <c r="E28" s="35"/>
    </row>
    <row r="29" spans="1:5">
      <c r="A29" s="22">
        <v>17</v>
      </c>
      <c r="B29" s="13" t="b">
        <v>1</v>
      </c>
      <c r="C29" s="11" t="s">
        <v>45</v>
      </c>
      <c r="D29" s="32" t="s">
        <v>22</v>
      </c>
      <c r="E29" s="35" t="s">
        <v>69</v>
      </c>
    </row>
    <row r="30" spans="1:5" ht="29.25">
      <c r="A30" s="22">
        <v>18</v>
      </c>
      <c r="B30" s="13" t="b">
        <v>0</v>
      </c>
      <c r="C30" s="11" t="s">
        <v>46</v>
      </c>
      <c r="D30" s="32" t="s">
        <v>22</v>
      </c>
      <c r="E30" s="39" t="s">
        <v>70</v>
      </c>
    </row>
    <row r="31" spans="1:5" ht="27.75">
      <c r="A31" s="22">
        <v>19</v>
      </c>
      <c r="B31" s="15" t="b">
        <v>0</v>
      </c>
      <c r="C31" s="14" t="s">
        <v>47</v>
      </c>
      <c r="D31" s="32" t="s">
        <v>48</v>
      </c>
      <c r="E31" s="35"/>
    </row>
    <row r="32" spans="1:5" ht="27.75">
      <c r="A32" s="22">
        <v>20</v>
      </c>
      <c r="B32" s="15" t="b">
        <v>0</v>
      </c>
      <c r="C32" s="14" t="s">
        <v>49</v>
      </c>
      <c r="D32" s="38" t="s">
        <v>50</v>
      </c>
      <c r="E32" s="35"/>
    </row>
    <row r="33" spans="1:5" ht="27.75">
      <c r="A33" s="22">
        <v>21</v>
      </c>
      <c r="B33" s="16" t="b">
        <v>0</v>
      </c>
      <c r="C33" s="14" t="s">
        <v>51</v>
      </c>
      <c r="D33" s="32" t="s">
        <v>22</v>
      </c>
      <c r="E33" s="35"/>
    </row>
    <row r="34" spans="1:5" s="7" customFormat="1">
      <c r="A34" s="22">
        <v>22</v>
      </c>
      <c r="B34" s="16" t="b">
        <v>0</v>
      </c>
      <c r="C34" s="29" t="s">
        <v>52</v>
      </c>
      <c r="D34" s="32" t="s">
        <v>48</v>
      </c>
      <c r="E34" s="37"/>
    </row>
    <row r="35" spans="1:5">
      <c r="B35" s="62" t="s">
        <v>53</v>
      </c>
      <c r="C35" s="62"/>
      <c r="D35" s="62"/>
    </row>
    <row r="36" spans="1:5" ht="29.25">
      <c r="A36" s="12">
        <v>23</v>
      </c>
      <c r="B36" s="16" t="b">
        <v>0</v>
      </c>
      <c r="C36" s="14" t="s">
        <v>54</v>
      </c>
      <c r="D36" s="32" t="s">
        <v>55</v>
      </c>
      <c r="E36" s="35"/>
    </row>
    <row r="37" spans="1:5" ht="27.75">
      <c r="A37" s="12">
        <v>24</v>
      </c>
      <c r="B37" s="16" t="b">
        <v>0</v>
      </c>
      <c r="C37" s="14" t="s">
        <v>56</v>
      </c>
      <c r="D37" s="38" t="s">
        <v>33</v>
      </c>
      <c r="E37" s="35"/>
    </row>
    <row r="38" spans="1:5" ht="27.75">
      <c r="A38" s="12">
        <v>25</v>
      </c>
      <c r="B38" s="16" t="b">
        <v>0</v>
      </c>
      <c r="C38" s="14" t="s">
        <v>57</v>
      </c>
      <c r="D38" s="32" t="s">
        <v>33</v>
      </c>
      <c r="E38" s="35"/>
    </row>
  </sheetData>
  <mergeCells count="4">
    <mergeCell ref="B35:D35"/>
    <mergeCell ref="B10:D10"/>
    <mergeCell ref="B19:D19"/>
    <mergeCell ref="B27:D27"/>
  </mergeCells>
  <hyperlinks>
    <hyperlink ref="F4" r:id="rId1" xr:uid="{177C844A-8403-4267-85EE-C5F56F8D5474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A8B-D8D0-4E24-90EF-D342C5607DF1}">
  <dimension ref="A1:F38"/>
  <sheetViews>
    <sheetView topLeftCell="A13" workbookViewId="0">
      <selection activeCell="E26" sqref="E26"/>
    </sheetView>
  </sheetViews>
  <sheetFormatPr defaultRowHeight="15"/>
  <cols>
    <col min="1" max="1" width="3.42578125" style="7" customWidth="1"/>
    <col min="2" max="2" width="6.5703125" style="7" bestFit="1" customWidth="1"/>
    <col min="3" max="3" width="44.5703125" customWidth="1"/>
    <col min="4" max="4" width="36.5703125" style="6" bestFit="1" customWidth="1"/>
    <col min="5" max="5" width="30.140625" customWidth="1"/>
    <col min="6" max="6" width="20.7109375" bestFit="1" customWidth="1"/>
    <col min="7" max="7" width="14" bestFit="1" customWidth="1"/>
    <col min="13" max="13" width="20.42578125" bestFit="1" customWidth="1"/>
  </cols>
  <sheetData>
    <row r="1" spans="1:6" ht="18.75">
      <c r="E1" s="30" t="s">
        <v>2</v>
      </c>
      <c r="F1" s="30"/>
    </row>
    <row r="2" spans="1:6">
      <c r="B2" s="9"/>
      <c r="C2" s="8" t="s">
        <v>3</v>
      </c>
      <c r="E2" s="3" t="s">
        <v>4</v>
      </c>
      <c r="F2" s="4" t="s">
        <v>71</v>
      </c>
    </row>
    <row r="3" spans="1:6">
      <c r="B3" s="10"/>
      <c r="C3" s="8" t="s">
        <v>5</v>
      </c>
      <c r="E3" s="3" t="s">
        <v>6</v>
      </c>
      <c r="F3" s="4" t="s">
        <v>72</v>
      </c>
    </row>
    <row r="4" spans="1:6">
      <c r="E4" s="3" t="s">
        <v>60</v>
      </c>
      <c r="F4" s="42" t="s">
        <v>73</v>
      </c>
    </row>
    <row r="5" spans="1:6">
      <c r="E5" s="3" t="s">
        <v>8</v>
      </c>
      <c r="F5" s="4" t="s">
        <v>74</v>
      </c>
    </row>
    <row r="6" spans="1:6">
      <c r="E6" s="3" t="s">
        <v>9</v>
      </c>
      <c r="F6" s="4"/>
    </row>
    <row r="7" spans="1:6">
      <c r="C7" s="26" t="s">
        <v>10</v>
      </c>
      <c r="D7" s="27">
        <f>COUNTIF(B11:B38,TRUE)</f>
        <v>4</v>
      </c>
      <c r="E7" s="3" t="s">
        <v>11</v>
      </c>
      <c r="F7" s="4" t="s">
        <v>75</v>
      </c>
    </row>
    <row r="8" spans="1:6">
      <c r="E8" s="3" t="s">
        <v>12</v>
      </c>
      <c r="F8" s="5">
        <f ca="1">TODAY()</f>
        <v>46100</v>
      </c>
    </row>
    <row r="9" spans="1:6" ht="16.5">
      <c r="B9" s="24"/>
      <c r="C9" s="25" t="s">
        <v>13</v>
      </c>
      <c r="D9" s="17" t="s">
        <v>14</v>
      </c>
    </row>
    <row r="10" spans="1:6" ht="16.5">
      <c r="B10" s="57" t="s">
        <v>15</v>
      </c>
      <c r="C10" s="58"/>
      <c r="D10" s="58"/>
      <c r="E10" s="34" t="s">
        <v>16</v>
      </c>
      <c r="F10" s="2"/>
    </row>
    <row r="11" spans="1:6" ht="15" customHeight="1">
      <c r="A11" s="12">
        <v>1</v>
      </c>
      <c r="B11" s="13" t="b">
        <v>0</v>
      </c>
      <c r="C11" s="14" t="s">
        <v>17</v>
      </c>
      <c r="D11" s="31" t="s">
        <v>18</v>
      </c>
      <c r="E11" s="35"/>
    </row>
    <row r="12" spans="1:6">
      <c r="A12" s="12">
        <v>2</v>
      </c>
      <c r="B12" s="13" t="b">
        <v>1</v>
      </c>
      <c r="C12" s="11" t="s">
        <v>19</v>
      </c>
      <c r="D12" s="31" t="s">
        <v>20</v>
      </c>
      <c r="E12" s="35"/>
    </row>
    <row r="13" spans="1:6" ht="33.75" customHeight="1">
      <c r="A13" s="12">
        <v>3</v>
      </c>
      <c r="B13" s="13" t="b">
        <v>1</v>
      </c>
      <c r="C13" s="14" t="s">
        <v>21</v>
      </c>
      <c r="D13" s="31" t="s">
        <v>22</v>
      </c>
      <c r="E13" s="35"/>
    </row>
    <row r="14" spans="1:6" ht="27.75">
      <c r="A14" s="12">
        <v>4</v>
      </c>
      <c r="B14" s="13" t="b">
        <v>1</v>
      </c>
      <c r="C14" s="14" t="s">
        <v>23</v>
      </c>
      <c r="D14" s="32" t="s">
        <v>22</v>
      </c>
      <c r="E14" s="35"/>
    </row>
    <row r="15" spans="1:6" ht="29.25">
      <c r="A15" s="12">
        <v>5</v>
      </c>
      <c r="B15" s="15" t="b">
        <v>0</v>
      </c>
      <c r="C15" s="14" t="s">
        <v>24</v>
      </c>
      <c r="D15" s="38" t="s">
        <v>25</v>
      </c>
      <c r="E15" s="35"/>
    </row>
    <row r="16" spans="1:6" ht="29.25">
      <c r="A16" s="12">
        <v>6</v>
      </c>
      <c r="B16" s="16" t="b">
        <v>0</v>
      </c>
      <c r="C16" s="14" t="s">
        <v>26</v>
      </c>
      <c r="D16" s="32" t="s">
        <v>27</v>
      </c>
      <c r="E16" s="39" t="s">
        <v>66</v>
      </c>
    </row>
    <row r="17" spans="1:5">
      <c r="A17" s="12">
        <v>7</v>
      </c>
      <c r="B17" s="16" t="b">
        <v>0</v>
      </c>
      <c r="C17" s="11" t="s">
        <v>28</v>
      </c>
      <c r="D17" s="32" t="s">
        <v>29</v>
      </c>
      <c r="E17" s="35"/>
    </row>
    <row r="18" spans="1:5">
      <c r="A18" s="12">
        <v>8</v>
      </c>
      <c r="B18" s="21" t="b">
        <v>0</v>
      </c>
      <c r="C18" s="18" t="s">
        <v>30</v>
      </c>
      <c r="D18" s="33" t="s">
        <v>29</v>
      </c>
      <c r="E18" s="35"/>
    </row>
    <row r="19" spans="1:5">
      <c r="A19" s="22"/>
      <c r="B19" s="59" t="s">
        <v>31</v>
      </c>
      <c r="C19" s="60"/>
      <c r="D19" s="61"/>
    </row>
    <row r="20" spans="1:5">
      <c r="A20" s="22">
        <v>9</v>
      </c>
      <c r="B20" s="16" t="b">
        <v>0</v>
      </c>
      <c r="C20" s="19" t="s">
        <v>32</v>
      </c>
      <c r="D20" s="32" t="s">
        <v>33</v>
      </c>
      <c r="E20" s="35" t="s">
        <v>76</v>
      </c>
    </row>
    <row r="21" spans="1:5">
      <c r="A21" s="12">
        <v>10</v>
      </c>
      <c r="B21" s="13" t="b">
        <v>0</v>
      </c>
      <c r="C21" s="20" t="s">
        <v>34</v>
      </c>
      <c r="D21" s="32" t="s">
        <v>35</v>
      </c>
      <c r="E21" s="35"/>
    </row>
    <row r="22" spans="1:5">
      <c r="A22" s="12">
        <v>11</v>
      </c>
      <c r="B22" s="13" t="b">
        <v>0</v>
      </c>
      <c r="C22" s="20" t="s">
        <v>36</v>
      </c>
      <c r="D22" s="32" t="s">
        <v>35</v>
      </c>
      <c r="E22" s="35"/>
    </row>
    <row r="23" spans="1:5">
      <c r="A23" s="12">
        <v>12</v>
      </c>
      <c r="B23" s="13" t="b">
        <v>0</v>
      </c>
      <c r="C23" s="20" t="s">
        <v>37</v>
      </c>
      <c r="D23" s="32" t="s">
        <v>38</v>
      </c>
      <c r="E23" s="35"/>
    </row>
    <row r="24" spans="1:5">
      <c r="A24" s="12">
        <v>13</v>
      </c>
      <c r="B24" s="13" t="b">
        <v>0</v>
      </c>
      <c r="C24" s="20" t="s">
        <v>39</v>
      </c>
      <c r="D24" s="32" t="s">
        <v>38</v>
      </c>
      <c r="E24" s="35"/>
    </row>
    <row r="25" spans="1:5">
      <c r="A25" s="12">
        <v>14</v>
      </c>
      <c r="B25" s="13" t="b">
        <v>0</v>
      </c>
      <c r="C25" s="20" t="s">
        <v>40</v>
      </c>
      <c r="D25" s="32" t="s">
        <v>35</v>
      </c>
      <c r="E25" s="41"/>
    </row>
    <row r="26" spans="1:5" ht="27.75">
      <c r="A26" s="22">
        <v>15</v>
      </c>
      <c r="B26" s="23" t="b">
        <v>1</v>
      </c>
      <c r="C26" s="28" t="s">
        <v>41</v>
      </c>
      <c r="D26" s="36" t="s">
        <v>42</v>
      </c>
      <c r="E26" s="40" t="s">
        <v>68</v>
      </c>
    </row>
    <row r="27" spans="1:5">
      <c r="A27" s="22"/>
      <c r="B27" s="59" t="s">
        <v>43</v>
      </c>
      <c r="C27" s="60"/>
      <c r="D27" s="61"/>
    </row>
    <row r="28" spans="1:5" ht="15" customHeight="1">
      <c r="A28" s="12">
        <v>16</v>
      </c>
      <c r="B28" s="16" t="b">
        <v>0</v>
      </c>
      <c r="C28" s="11" t="s">
        <v>44</v>
      </c>
      <c r="D28" s="32" t="s">
        <v>33</v>
      </c>
      <c r="E28" s="35"/>
    </row>
    <row r="29" spans="1:5">
      <c r="A29" s="22">
        <v>17</v>
      </c>
      <c r="B29" s="13" t="b">
        <v>0</v>
      </c>
      <c r="C29" s="11" t="s">
        <v>45</v>
      </c>
      <c r="D29" s="32" t="s">
        <v>22</v>
      </c>
      <c r="E29" s="35" t="s">
        <v>77</v>
      </c>
    </row>
    <row r="30" spans="1:5">
      <c r="A30" s="22">
        <v>18</v>
      </c>
      <c r="B30" s="13" t="b">
        <v>0</v>
      </c>
      <c r="C30" s="11" t="s">
        <v>46</v>
      </c>
      <c r="D30" s="32" t="s">
        <v>22</v>
      </c>
      <c r="E30" s="35" t="s">
        <v>77</v>
      </c>
    </row>
    <row r="31" spans="1:5" ht="27.75">
      <c r="A31" s="22">
        <v>19</v>
      </c>
      <c r="B31" s="15" t="b">
        <v>0</v>
      </c>
      <c r="C31" s="14" t="s">
        <v>47</v>
      </c>
      <c r="D31" s="32" t="s">
        <v>48</v>
      </c>
      <c r="E31" s="35"/>
    </row>
    <row r="32" spans="1:5" ht="27.75">
      <c r="A32" s="22">
        <v>20</v>
      </c>
      <c r="B32" s="15" t="b">
        <v>0</v>
      </c>
      <c r="C32" s="14" t="s">
        <v>49</v>
      </c>
      <c r="D32" s="38" t="s">
        <v>50</v>
      </c>
      <c r="E32" s="35"/>
    </row>
    <row r="33" spans="1:5" ht="27.75">
      <c r="A33" s="22">
        <v>21</v>
      </c>
      <c r="B33" s="16" t="b">
        <v>0</v>
      </c>
      <c r="C33" s="14" t="s">
        <v>51</v>
      </c>
      <c r="D33" s="32" t="s">
        <v>22</v>
      </c>
      <c r="E33" s="35"/>
    </row>
    <row r="34" spans="1:5" s="7" customFormat="1">
      <c r="A34" s="22">
        <v>22</v>
      </c>
      <c r="B34" s="16" t="b">
        <v>0</v>
      </c>
      <c r="C34" s="29" t="s">
        <v>52</v>
      </c>
      <c r="D34" s="32" t="s">
        <v>48</v>
      </c>
      <c r="E34" s="37"/>
    </row>
    <row r="35" spans="1:5">
      <c r="B35" s="62" t="s">
        <v>53</v>
      </c>
      <c r="C35" s="62"/>
      <c r="D35" s="62"/>
    </row>
    <row r="36" spans="1:5">
      <c r="A36" s="12">
        <v>23</v>
      </c>
      <c r="B36" s="16" t="b">
        <v>0</v>
      </c>
      <c r="C36" s="14" t="s">
        <v>54</v>
      </c>
      <c r="D36" s="32" t="s">
        <v>55</v>
      </c>
      <c r="E36" s="35"/>
    </row>
    <row r="37" spans="1:5" ht="27.75">
      <c r="A37" s="12">
        <v>24</v>
      </c>
      <c r="B37" s="16" t="b">
        <v>0</v>
      </c>
      <c r="C37" s="14" t="s">
        <v>56</v>
      </c>
      <c r="D37" s="38" t="s">
        <v>33</v>
      </c>
      <c r="E37" s="35"/>
    </row>
    <row r="38" spans="1:5" ht="27.75">
      <c r="A38" s="12">
        <v>25</v>
      </c>
      <c r="B38" s="16" t="b">
        <v>0</v>
      </c>
      <c r="C38" s="14" t="s">
        <v>57</v>
      </c>
      <c r="D38" s="32" t="s">
        <v>33</v>
      </c>
      <c r="E38" s="35"/>
    </row>
  </sheetData>
  <mergeCells count="4">
    <mergeCell ref="B10:D10"/>
    <mergeCell ref="B19:D19"/>
    <mergeCell ref="B27:D27"/>
    <mergeCell ref="B35:D35"/>
  </mergeCells>
  <hyperlinks>
    <hyperlink ref="F4" r:id="rId1" xr:uid="{0E4A8459-212F-42BC-90F6-C536A31E2EE8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FF8E-15EA-4EC5-8DBB-6AB420688526}">
  <dimension ref="A1:F38"/>
  <sheetViews>
    <sheetView topLeftCell="A16" workbookViewId="0">
      <selection activeCell="B26" sqref="B26"/>
    </sheetView>
  </sheetViews>
  <sheetFormatPr defaultRowHeight="15"/>
  <cols>
    <col min="1" max="1" width="3.42578125" style="7" customWidth="1"/>
    <col min="2" max="2" width="6.5703125" style="7" bestFit="1" customWidth="1"/>
    <col min="3" max="3" width="44.5703125" customWidth="1"/>
    <col min="4" max="4" width="36.5703125" style="6" bestFit="1" customWidth="1"/>
    <col min="5" max="5" width="30.140625" customWidth="1"/>
    <col min="6" max="6" width="20.28515625" bestFit="1" customWidth="1"/>
    <col min="7" max="7" width="14" bestFit="1" customWidth="1"/>
    <col min="13" max="13" width="20.42578125" bestFit="1" customWidth="1"/>
  </cols>
  <sheetData>
    <row r="1" spans="1:6" ht="18.75">
      <c r="E1" s="30" t="s">
        <v>2</v>
      </c>
      <c r="F1" s="30"/>
    </row>
    <row r="2" spans="1:6">
      <c r="B2" s="9"/>
      <c r="C2" s="8" t="s">
        <v>3</v>
      </c>
      <c r="E2" s="3" t="s">
        <v>4</v>
      </c>
      <c r="F2" s="4" t="s">
        <v>78</v>
      </c>
    </row>
    <row r="3" spans="1:6">
      <c r="B3" s="10"/>
      <c r="C3" s="8" t="s">
        <v>5</v>
      </c>
      <c r="E3" s="3" t="s">
        <v>6</v>
      </c>
      <c r="F3" s="4"/>
    </row>
    <row r="4" spans="1:6">
      <c r="E4" s="3" t="s">
        <v>60</v>
      </c>
      <c r="F4" s="4"/>
    </row>
    <row r="5" spans="1:6">
      <c r="E5" s="3" t="s">
        <v>8</v>
      </c>
      <c r="F5" s="4" t="s">
        <v>79</v>
      </c>
    </row>
    <row r="6" spans="1:6">
      <c r="E6" s="3" t="s">
        <v>9</v>
      </c>
      <c r="F6" s="4"/>
    </row>
    <row r="7" spans="1:6">
      <c r="C7" s="26" t="s">
        <v>10</v>
      </c>
      <c r="D7" s="27">
        <f>COUNTIF(B11:B38,TRUE)</f>
        <v>1</v>
      </c>
      <c r="E7" s="3" t="s">
        <v>11</v>
      </c>
      <c r="F7" s="4" t="s">
        <v>75</v>
      </c>
    </row>
    <row r="8" spans="1:6">
      <c r="E8" s="3" t="s">
        <v>12</v>
      </c>
      <c r="F8" s="5">
        <f ca="1">TODAY()</f>
        <v>46100</v>
      </c>
    </row>
    <row r="9" spans="1:6" ht="16.5">
      <c r="B9" s="24"/>
      <c r="C9" s="25" t="s">
        <v>13</v>
      </c>
      <c r="D9" s="17" t="s">
        <v>14</v>
      </c>
    </row>
    <row r="10" spans="1:6" ht="16.5">
      <c r="B10" s="57" t="s">
        <v>15</v>
      </c>
      <c r="C10" s="58"/>
      <c r="D10" s="58"/>
      <c r="E10" s="34" t="s">
        <v>16</v>
      </c>
      <c r="F10" s="2"/>
    </row>
    <row r="11" spans="1:6" ht="15" customHeight="1">
      <c r="A11" s="12">
        <v>1</v>
      </c>
      <c r="B11" s="13" t="b">
        <v>0</v>
      </c>
      <c r="C11" s="14" t="s">
        <v>17</v>
      </c>
      <c r="D11" s="31" t="s">
        <v>18</v>
      </c>
      <c r="E11" s="35"/>
    </row>
    <row r="12" spans="1:6">
      <c r="A12" s="12">
        <v>2</v>
      </c>
      <c r="B12" s="13" t="b">
        <v>0</v>
      </c>
      <c r="C12" s="11" t="s">
        <v>19</v>
      </c>
      <c r="D12" s="31" t="s">
        <v>20</v>
      </c>
      <c r="E12" s="35"/>
    </row>
    <row r="13" spans="1:6" ht="33.75" customHeight="1">
      <c r="A13" s="12">
        <v>3</v>
      </c>
      <c r="B13" s="13" t="b">
        <v>0</v>
      </c>
      <c r="C13" s="14" t="s">
        <v>21</v>
      </c>
      <c r="D13" s="31" t="s">
        <v>22</v>
      </c>
      <c r="E13" s="35"/>
    </row>
    <row r="14" spans="1:6" ht="27.75">
      <c r="A14" s="12">
        <v>4</v>
      </c>
      <c r="B14" s="13" t="b">
        <v>0</v>
      </c>
      <c r="C14" s="14" t="s">
        <v>23</v>
      </c>
      <c r="D14" s="32" t="s">
        <v>22</v>
      </c>
      <c r="E14" s="35"/>
    </row>
    <row r="15" spans="1:6" ht="27.75">
      <c r="A15" s="12">
        <v>5</v>
      </c>
      <c r="B15" s="15" t="b">
        <v>0</v>
      </c>
      <c r="C15" s="14" t="s">
        <v>24</v>
      </c>
      <c r="D15" s="38" t="s">
        <v>80</v>
      </c>
      <c r="E15" s="35"/>
    </row>
    <row r="16" spans="1:6" ht="27.75">
      <c r="A16" s="12">
        <v>6</v>
      </c>
      <c r="B16" s="16" t="b">
        <v>0</v>
      </c>
      <c r="C16" s="14" t="s">
        <v>26</v>
      </c>
      <c r="D16" s="32" t="s">
        <v>27</v>
      </c>
      <c r="E16" s="35"/>
    </row>
    <row r="17" spans="1:5">
      <c r="A17" s="12">
        <v>7</v>
      </c>
      <c r="B17" s="16" t="b">
        <v>0</v>
      </c>
      <c r="C17" s="11" t="s">
        <v>28</v>
      </c>
      <c r="D17" s="32" t="s">
        <v>29</v>
      </c>
      <c r="E17" s="35"/>
    </row>
    <row r="18" spans="1:5">
      <c r="A18" s="12">
        <v>8</v>
      </c>
      <c r="B18" s="21" t="b">
        <v>0</v>
      </c>
      <c r="C18" s="18" t="s">
        <v>30</v>
      </c>
      <c r="D18" s="33" t="s">
        <v>29</v>
      </c>
      <c r="E18" s="35"/>
    </row>
    <row r="19" spans="1:5">
      <c r="A19" s="22"/>
      <c r="B19" s="59" t="s">
        <v>31</v>
      </c>
      <c r="C19" s="60"/>
      <c r="D19" s="61"/>
    </row>
    <row r="20" spans="1:5">
      <c r="A20" s="22">
        <v>9</v>
      </c>
      <c r="B20" s="16" t="b">
        <v>0</v>
      </c>
      <c r="C20" s="19" t="s">
        <v>32</v>
      </c>
      <c r="D20" s="32" t="s">
        <v>33</v>
      </c>
      <c r="E20" s="35"/>
    </row>
    <row r="21" spans="1:5">
      <c r="A21" s="12">
        <v>10</v>
      </c>
      <c r="B21" s="13" t="b">
        <v>0</v>
      </c>
      <c r="C21" s="20" t="s">
        <v>34</v>
      </c>
      <c r="D21" s="32" t="s">
        <v>35</v>
      </c>
      <c r="E21" s="35"/>
    </row>
    <row r="22" spans="1:5">
      <c r="A22" s="12">
        <v>11</v>
      </c>
      <c r="B22" s="13" t="b">
        <v>0</v>
      </c>
      <c r="C22" s="20" t="s">
        <v>36</v>
      </c>
      <c r="D22" s="32" t="s">
        <v>35</v>
      </c>
      <c r="E22" s="35"/>
    </row>
    <row r="23" spans="1:5">
      <c r="A23" s="12">
        <v>12</v>
      </c>
      <c r="B23" s="13" t="b">
        <v>0</v>
      </c>
      <c r="C23" s="20" t="s">
        <v>37</v>
      </c>
      <c r="D23" s="32" t="s">
        <v>38</v>
      </c>
      <c r="E23" s="35"/>
    </row>
    <row r="24" spans="1:5">
      <c r="A24" s="12">
        <v>13</v>
      </c>
      <c r="B24" s="13" t="b">
        <v>0</v>
      </c>
      <c r="C24" s="20" t="s">
        <v>39</v>
      </c>
      <c r="D24" s="32" t="s">
        <v>38</v>
      </c>
      <c r="E24" s="35"/>
    </row>
    <row r="25" spans="1:5">
      <c r="A25" s="12">
        <v>14</v>
      </c>
      <c r="B25" s="13" t="b">
        <v>0</v>
      </c>
      <c r="C25" s="20" t="s">
        <v>40</v>
      </c>
      <c r="D25" s="32" t="s">
        <v>35</v>
      </c>
      <c r="E25" s="35"/>
    </row>
    <row r="26" spans="1:5" ht="29.25">
      <c r="A26" s="22">
        <v>15</v>
      </c>
      <c r="B26" s="23" t="b">
        <v>1</v>
      </c>
      <c r="C26" s="28" t="s">
        <v>41</v>
      </c>
      <c r="D26" s="36" t="s">
        <v>42</v>
      </c>
      <c r="E26" s="39" t="s">
        <v>81</v>
      </c>
    </row>
    <row r="27" spans="1:5">
      <c r="A27" s="22"/>
      <c r="B27" s="59" t="s">
        <v>43</v>
      </c>
      <c r="C27" s="60"/>
      <c r="D27" s="61"/>
    </row>
    <row r="28" spans="1:5" ht="15" customHeight="1">
      <c r="A28" s="12">
        <v>16</v>
      </c>
      <c r="B28" s="16" t="b">
        <v>0</v>
      </c>
      <c r="C28" s="11" t="s">
        <v>44</v>
      </c>
      <c r="D28" s="32" t="s">
        <v>33</v>
      </c>
      <c r="E28" s="35"/>
    </row>
    <row r="29" spans="1:5">
      <c r="A29" s="22">
        <v>17</v>
      </c>
      <c r="B29" s="13" t="b">
        <v>0</v>
      </c>
      <c r="C29" s="11" t="s">
        <v>45</v>
      </c>
      <c r="D29" s="32" t="s">
        <v>22</v>
      </c>
      <c r="E29" s="35"/>
    </row>
    <row r="30" spans="1:5">
      <c r="A30" s="22">
        <v>18</v>
      </c>
      <c r="B30" s="13" t="b">
        <v>0</v>
      </c>
      <c r="C30" s="11" t="s">
        <v>46</v>
      </c>
      <c r="D30" s="32" t="s">
        <v>22</v>
      </c>
      <c r="E30" s="35"/>
    </row>
    <row r="31" spans="1:5" ht="27.75">
      <c r="A31" s="22">
        <v>19</v>
      </c>
      <c r="B31" s="15" t="b">
        <v>0</v>
      </c>
      <c r="C31" s="14" t="s">
        <v>47</v>
      </c>
      <c r="D31" s="32" t="s">
        <v>48</v>
      </c>
      <c r="E31" s="35"/>
    </row>
    <row r="32" spans="1:5" ht="27.75">
      <c r="A32" s="22">
        <v>20</v>
      </c>
      <c r="B32" s="15" t="b">
        <v>0</v>
      </c>
      <c r="C32" s="14" t="s">
        <v>49</v>
      </c>
      <c r="D32" s="38" t="s">
        <v>50</v>
      </c>
      <c r="E32" s="35"/>
    </row>
    <row r="33" spans="1:5" ht="27.75">
      <c r="A33" s="22">
        <v>21</v>
      </c>
      <c r="B33" s="16" t="b">
        <v>0</v>
      </c>
      <c r="C33" s="14" t="s">
        <v>51</v>
      </c>
      <c r="D33" s="32" t="s">
        <v>22</v>
      </c>
      <c r="E33" s="35"/>
    </row>
    <row r="34" spans="1:5" s="7" customFormat="1">
      <c r="A34" s="22">
        <v>22</v>
      </c>
      <c r="B34" s="16" t="b">
        <v>0</v>
      </c>
      <c r="C34" s="29" t="s">
        <v>52</v>
      </c>
      <c r="D34" s="32" t="s">
        <v>48</v>
      </c>
      <c r="E34" s="37"/>
    </row>
    <row r="35" spans="1:5">
      <c r="B35" s="62" t="s">
        <v>53</v>
      </c>
      <c r="C35" s="62"/>
      <c r="D35" s="62"/>
    </row>
    <row r="36" spans="1:5">
      <c r="A36" s="12">
        <v>23</v>
      </c>
      <c r="B36" s="16" t="b">
        <v>0</v>
      </c>
      <c r="C36" s="14" t="s">
        <v>54</v>
      </c>
      <c r="D36" s="32" t="s">
        <v>55</v>
      </c>
      <c r="E36" s="35"/>
    </row>
    <row r="37" spans="1:5" ht="27.75">
      <c r="A37" s="12">
        <v>24</v>
      </c>
      <c r="B37" s="16" t="b">
        <v>0</v>
      </c>
      <c r="C37" s="14" t="s">
        <v>56</v>
      </c>
      <c r="D37" s="38" t="s">
        <v>33</v>
      </c>
      <c r="E37" s="35"/>
    </row>
    <row r="38" spans="1:5" ht="27.75">
      <c r="A38" s="12">
        <v>25</v>
      </c>
      <c r="B38" s="16" t="b">
        <v>0</v>
      </c>
      <c r="C38" s="14" t="s">
        <v>57</v>
      </c>
      <c r="D38" s="32" t="s">
        <v>33</v>
      </c>
      <c r="E38" s="35"/>
    </row>
  </sheetData>
  <mergeCells count="4">
    <mergeCell ref="B10:D10"/>
    <mergeCell ref="B19:D19"/>
    <mergeCell ref="B27:D27"/>
    <mergeCell ref="B35:D3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74FF-4AFD-4D89-8DCC-5FC4795408F1}">
  <dimension ref="A1:F38"/>
  <sheetViews>
    <sheetView topLeftCell="A8" workbookViewId="0">
      <selection activeCell="B16" sqref="B16"/>
    </sheetView>
  </sheetViews>
  <sheetFormatPr defaultRowHeight="15"/>
  <cols>
    <col min="1" max="1" width="3.42578125" style="7" customWidth="1"/>
    <col min="2" max="2" width="6.5703125" style="7" bestFit="1" customWidth="1"/>
    <col min="3" max="3" width="44.5703125" style="7" customWidth="1"/>
    <col min="4" max="4" width="36.5703125" style="6" bestFit="1" customWidth="1"/>
    <col min="5" max="5" width="30.140625" customWidth="1"/>
    <col min="6" max="6" width="26.28515625" bestFit="1" customWidth="1"/>
    <col min="7" max="7" width="14" bestFit="1" customWidth="1"/>
    <col min="13" max="13" width="20.42578125" bestFit="1" customWidth="1"/>
  </cols>
  <sheetData>
    <row r="1" spans="1:6" ht="18.75">
      <c r="E1" s="30" t="s">
        <v>2</v>
      </c>
      <c r="F1" s="30"/>
    </row>
    <row r="2" spans="1:6">
      <c r="B2" s="9"/>
      <c r="C2" s="49" t="s">
        <v>3</v>
      </c>
      <c r="E2" s="3" t="s">
        <v>4</v>
      </c>
      <c r="F2" s="54" t="s">
        <v>82</v>
      </c>
    </row>
    <row r="3" spans="1:6">
      <c r="B3" s="10"/>
      <c r="C3" s="49" t="s">
        <v>5</v>
      </c>
      <c r="E3" s="3" t="s">
        <v>6</v>
      </c>
      <c r="F3" s="4"/>
    </row>
    <row r="4" spans="1:6">
      <c r="E4" s="3" t="s">
        <v>7</v>
      </c>
      <c r="F4" s="42" t="s">
        <v>83</v>
      </c>
    </row>
    <row r="5" spans="1:6">
      <c r="E5" s="46" t="s">
        <v>8</v>
      </c>
      <c r="F5" s="4"/>
    </row>
    <row r="6" spans="1:6">
      <c r="E6" s="3" t="s">
        <v>9</v>
      </c>
      <c r="F6" s="45"/>
    </row>
    <row r="7" spans="1:6">
      <c r="C7" s="50" t="s">
        <v>10</v>
      </c>
      <c r="D7" s="27">
        <f>COUNTIF(B11:B38,TRUE)</f>
        <v>0</v>
      </c>
      <c r="E7" s="47" t="s">
        <v>11</v>
      </c>
      <c r="F7" s="4"/>
    </row>
    <row r="8" spans="1:6">
      <c r="E8" s="3" t="s">
        <v>12</v>
      </c>
      <c r="F8" s="5">
        <f ca="1">TODAY()</f>
        <v>46100</v>
      </c>
    </row>
    <row r="9" spans="1:6" ht="15.75">
      <c r="B9" s="24"/>
      <c r="C9" s="51" t="s">
        <v>13</v>
      </c>
      <c r="D9" s="17" t="s">
        <v>14</v>
      </c>
    </row>
    <row r="10" spans="1:6" ht="16.5">
      <c r="B10" s="57" t="s">
        <v>15</v>
      </c>
      <c r="C10" s="58"/>
      <c r="D10" s="58"/>
      <c r="E10" s="34" t="s">
        <v>16</v>
      </c>
      <c r="F10" s="2"/>
    </row>
    <row r="11" spans="1:6" ht="15" customHeight="1">
      <c r="A11" s="12">
        <v>1</v>
      </c>
      <c r="B11" s="13" t="b">
        <v>0</v>
      </c>
      <c r="C11" s="29" t="s">
        <v>17</v>
      </c>
      <c r="D11" s="31" t="s">
        <v>18</v>
      </c>
      <c r="E11" s="35"/>
    </row>
    <row r="12" spans="1:6">
      <c r="A12" s="12">
        <v>2</v>
      </c>
      <c r="B12" s="13" t="b">
        <v>0</v>
      </c>
      <c r="C12" s="12" t="s">
        <v>19</v>
      </c>
      <c r="D12" s="31" t="s">
        <v>20</v>
      </c>
      <c r="E12" s="35"/>
    </row>
    <row r="13" spans="1:6" ht="33.75" customHeight="1">
      <c r="A13" s="12">
        <v>3</v>
      </c>
      <c r="B13" s="13" t="b">
        <v>0</v>
      </c>
      <c r="C13" s="29" t="s">
        <v>21</v>
      </c>
      <c r="D13" s="31" t="s">
        <v>22</v>
      </c>
      <c r="E13" s="35"/>
    </row>
    <row r="14" spans="1:6" ht="29.25">
      <c r="A14" s="12">
        <v>4</v>
      </c>
      <c r="B14" s="13" t="b">
        <v>0</v>
      </c>
      <c r="C14" s="29" t="s">
        <v>23</v>
      </c>
      <c r="D14" s="32" t="s">
        <v>22</v>
      </c>
      <c r="E14" s="35"/>
    </row>
    <row r="15" spans="1:6" ht="29.25">
      <c r="A15" s="12">
        <v>5</v>
      </c>
      <c r="B15" s="15" t="b">
        <v>0</v>
      </c>
      <c r="C15" s="29" t="s">
        <v>24</v>
      </c>
      <c r="D15" s="38" t="s">
        <v>25</v>
      </c>
      <c r="E15" s="35"/>
    </row>
    <row r="16" spans="1:6" ht="29.25">
      <c r="A16" s="12">
        <v>6</v>
      </c>
      <c r="B16" s="16" t="b">
        <v>0</v>
      </c>
      <c r="C16" s="29" t="s">
        <v>26</v>
      </c>
      <c r="D16" s="32" t="s">
        <v>27</v>
      </c>
      <c r="E16" s="35"/>
    </row>
    <row r="17" spans="1:5">
      <c r="A17" s="12">
        <v>7</v>
      </c>
      <c r="B17" s="16" t="b">
        <v>0</v>
      </c>
      <c r="C17" s="12" t="s">
        <v>28</v>
      </c>
      <c r="D17" s="32" t="s">
        <v>29</v>
      </c>
      <c r="E17" s="35"/>
    </row>
    <row r="18" spans="1:5">
      <c r="A18" s="12">
        <v>8</v>
      </c>
      <c r="B18" s="21" t="b">
        <v>0</v>
      </c>
      <c r="C18" s="22" t="s">
        <v>30</v>
      </c>
      <c r="D18" s="33" t="s">
        <v>29</v>
      </c>
      <c r="E18" s="35"/>
    </row>
    <row r="19" spans="1:5">
      <c r="A19" s="22"/>
      <c r="B19" s="59" t="s">
        <v>31</v>
      </c>
      <c r="C19" s="60"/>
      <c r="D19" s="61"/>
    </row>
    <row r="20" spans="1:5">
      <c r="A20" s="22">
        <v>9</v>
      </c>
      <c r="B20" s="16" t="b">
        <v>0</v>
      </c>
      <c r="C20" s="52" t="s">
        <v>32</v>
      </c>
      <c r="D20" s="32" t="s">
        <v>33</v>
      </c>
      <c r="E20" s="35"/>
    </row>
    <row r="21" spans="1:5">
      <c r="A21" s="12">
        <v>10</v>
      </c>
      <c r="B21" s="13" t="b">
        <v>0</v>
      </c>
      <c r="C21" s="53" t="s">
        <v>34</v>
      </c>
      <c r="D21" s="32" t="s">
        <v>35</v>
      </c>
      <c r="E21" s="35"/>
    </row>
    <row r="22" spans="1:5">
      <c r="A22" s="12">
        <v>11</v>
      </c>
      <c r="B22" s="13" t="b">
        <v>0</v>
      </c>
      <c r="C22" s="53" t="s">
        <v>36</v>
      </c>
      <c r="D22" s="32" t="s">
        <v>35</v>
      </c>
      <c r="E22" s="35"/>
    </row>
    <row r="23" spans="1:5">
      <c r="A23" s="12">
        <v>12</v>
      </c>
      <c r="B23" s="13" t="b">
        <v>0</v>
      </c>
      <c r="C23" s="53" t="s">
        <v>37</v>
      </c>
      <c r="D23" s="32" t="s">
        <v>38</v>
      </c>
      <c r="E23" s="35"/>
    </row>
    <row r="24" spans="1:5">
      <c r="A24" s="12">
        <v>13</v>
      </c>
      <c r="B24" s="13" t="b">
        <v>0</v>
      </c>
      <c r="C24" s="53" t="s">
        <v>39</v>
      </c>
      <c r="D24" s="32" t="s">
        <v>38</v>
      </c>
      <c r="E24" s="35"/>
    </row>
    <row r="25" spans="1:5">
      <c r="A25" s="12">
        <v>14</v>
      </c>
      <c r="B25" s="13" t="b">
        <v>0</v>
      </c>
      <c r="C25" s="53" t="s">
        <v>40</v>
      </c>
      <c r="D25" s="32" t="s">
        <v>35</v>
      </c>
      <c r="E25" s="35"/>
    </row>
    <row r="26" spans="1:5" ht="29.25">
      <c r="A26" s="22">
        <v>15</v>
      </c>
      <c r="B26" s="23" t="b">
        <v>0</v>
      </c>
      <c r="C26" s="28" t="s">
        <v>41</v>
      </c>
      <c r="D26" s="36" t="s">
        <v>42</v>
      </c>
      <c r="E26" s="35"/>
    </row>
    <row r="27" spans="1:5">
      <c r="A27" s="22"/>
      <c r="B27" s="59" t="s">
        <v>43</v>
      </c>
      <c r="C27" s="60"/>
      <c r="D27" s="61"/>
    </row>
    <row r="28" spans="1:5" ht="15" customHeight="1">
      <c r="A28" s="12">
        <v>16</v>
      </c>
      <c r="B28" s="16" t="b">
        <v>0</v>
      </c>
      <c r="C28" s="12" t="s">
        <v>44</v>
      </c>
      <c r="D28" s="32" t="s">
        <v>33</v>
      </c>
      <c r="E28" s="35"/>
    </row>
    <row r="29" spans="1:5">
      <c r="A29" s="22">
        <v>17</v>
      </c>
      <c r="B29" s="13" t="b">
        <v>0</v>
      </c>
      <c r="C29" s="12" t="s">
        <v>45</v>
      </c>
      <c r="D29" s="32" t="s">
        <v>22</v>
      </c>
      <c r="E29" s="35"/>
    </row>
    <row r="30" spans="1:5">
      <c r="A30" s="22">
        <v>18</v>
      </c>
      <c r="B30" s="13" t="b">
        <v>0</v>
      </c>
      <c r="C30" s="12" t="s">
        <v>46</v>
      </c>
      <c r="D30" s="32" t="s">
        <v>22</v>
      </c>
      <c r="E30" s="35"/>
    </row>
    <row r="31" spans="1:5" ht="29.25">
      <c r="A31" s="22">
        <v>19</v>
      </c>
      <c r="B31" s="15" t="b">
        <v>0</v>
      </c>
      <c r="C31" s="29" t="s">
        <v>47</v>
      </c>
      <c r="D31" s="32" t="s">
        <v>48</v>
      </c>
      <c r="E31" s="35"/>
    </row>
    <row r="32" spans="1:5" ht="29.25">
      <c r="A32" s="22">
        <v>20</v>
      </c>
      <c r="B32" s="15" t="b">
        <v>0</v>
      </c>
      <c r="C32" s="29" t="s">
        <v>49</v>
      </c>
      <c r="D32" s="38" t="s">
        <v>50</v>
      </c>
      <c r="E32" s="35"/>
    </row>
    <row r="33" spans="1:5" ht="29.25">
      <c r="A33" s="22">
        <v>21</v>
      </c>
      <c r="B33" s="16" t="b">
        <v>0</v>
      </c>
      <c r="C33" s="29" t="s">
        <v>51</v>
      </c>
      <c r="D33" s="32" t="s">
        <v>22</v>
      </c>
      <c r="E33" s="35"/>
    </row>
    <row r="34" spans="1:5" s="7" customFormat="1">
      <c r="A34" s="22">
        <v>22</v>
      </c>
      <c r="B34" s="16" t="b">
        <v>0</v>
      </c>
      <c r="C34" s="29" t="s">
        <v>52</v>
      </c>
      <c r="D34" s="32" t="s">
        <v>48</v>
      </c>
      <c r="E34" s="37"/>
    </row>
    <row r="35" spans="1:5">
      <c r="B35" s="62" t="s">
        <v>53</v>
      </c>
      <c r="C35" s="62"/>
      <c r="D35" s="62"/>
    </row>
    <row r="36" spans="1:5" ht="29.25">
      <c r="A36" s="12">
        <v>23</v>
      </c>
      <c r="B36" s="16" t="b">
        <v>0</v>
      </c>
      <c r="C36" s="29" t="s">
        <v>54</v>
      </c>
      <c r="D36" s="32" t="s">
        <v>55</v>
      </c>
      <c r="E36" s="35"/>
    </row>
    <row r="37" spans="1:5" ht="29.25">
      <c r="A37" s="12">
        <v>24</v>
      </c>
      <c r="B37" s="16" t="b">
        <v>0</v>
      </c>
      <c r="C37" s="29" t="s">
        <v>56</v>
      </c>
      <c r="D37" s="38" t="s">
        <v>33</v>
      </c>
      <c r="E37" s="35"/>
    </row>
    <row r="38" spans="1:5" ht="29.25">
      <c r="A38" s="12">
        <v>25</v>
      </c>
      <c r="B38" s="16" t="b">
        <v>0</v>
      </c>
      <c r="C38" s="29" t="s">
        <v>57</v>
      </c>
      <c r="D38" s="32" t="s">
        <v>33</v>
      </c>
      <c r="E38" s="35"/>
    </row>
  </sheetData>
  <mergeCells count="4">
    <mergeCell ref="B10:D10"/>
    <mergeCell ref="B19:D19"/>
    <mergeCell ref="B27:D27"/>
    <mergeCell ref="B35:D35"/>
  </mergeCells>
  <hyperlinks>
    <hyperlink ref="F4" r:id="rId1" xr:uid="{DC435F28-A5AE-4A2B-85B7-3348934C14AF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761468-9ae7-416a-ac7f-af8e2a300d05" xsi:nil="true"/>
    <lcf76f155ced4ddcb4097134ff3c332f xmlns="697772f7-e831-4e44-9c9f-cb5f578ef49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8AAD183FFC934A948D2620AEBCFAC8" ma:contentTypeVersion="11" ma:contentTypeDescription="Create a new document." ma:contentTypeScope="" ma:versionID="bf2d3554fa1bf8e268c28d2fab35f743">
  <xsd:schema xmlns:xsd="http://www.w3.org/2001/XMLSchema" xmlns:xs="http://www.w3.org/2001/XMLSchema" xmlns:p="http://schemas.microsoft.com/office/2006/metadata/properties" xmlns:ns2="697772f7-e831-4e44-9c9f-cb5f578ef490" xmlns:ns3="85761468-9ae7-416a-ac7f-af8e2a300d05" targetNamespace="http://schemas.microsoft.com/office/2006/metadata/properties" ma:root="true" ma:fieldsID="6468cfbb78fe3a8f16cce8c53523ef5a" ns2:_="" ns3:_="">
    <xsd:import namespace="697772f7-e831-4e44-9c9f-cb5f578ef490"/>
    <xsd:import namespace="85761468-9ae7-416a-ac7f-af8e2a300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72f7-e831-4e44-9c9f-cb5f578ef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61468-9ae7-416a-ac7f-af8e2a300d0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644cf7-fab0-4999-9717-bab56c6971c8}" ma:internalName="TaxCatchAll" ma:showField="CatchAllData" ma:web="85761468-9ae7-416a-ac7f-af8e2a300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8B4448-B63A-4DE3-BB90-9358CB6E7929}"/>
</file>

<file path=customXml/itemProps2.xml><?xml version="1.0" encoding="utf-8"?>
<ds:datastoreItem xmlns:ds="http://schemas.openxmlformats.org/officeDocument/2006/customXml" ds:itemID="{08C6871F-8B50-41A5-8FED-B8BF15FFD99E}"/>
</file>

<file path=customXml/itemProps3.xml><?xml version="1.0" encoding="utf-8"?>
<ds:datastoreItem xmlns:ds="http://schemas.openxmlformats.org/officeDocument/2006/customXml" ds:itemID="{17732711-0766-43F9-8B30-EA08CA908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Angellic Romero Romero</cp:lastModifiedBy>
  <cp:revision/>
  <dcterms:created xsi:type="dcterms:W3CDTF">2025-02-21T18:33:08Z</dcterms:created>
  <dcterms:modified xsi:type="dcterms:W3CDTF">2026-03-19T17:58:05Z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0x010100B08AAD183FFC934A948D2620AEBCFAC8</vt:lpwstr>
  </property>
  <property fmtid="{D5CDD505-2E9C-101B-9397-08002B2CF9AE}" pid="3" name="MediaServiceImageTags">
    <vt:lpwstr/>
  </property>
</Properties>
</file>